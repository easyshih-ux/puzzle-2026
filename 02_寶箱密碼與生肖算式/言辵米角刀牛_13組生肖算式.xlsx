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asy's AI 製作資料夾\言辵米角刀牛\07_寶箱密碼與生肖算式\"/>
    </mc:Choice>
  </mc:AlternateContent>
  <xr:revisionPtr revIDLastSave="0" documentId="13_ncr:1_{AA87BD44-9DED-4C4B-A416-72868FF169E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教師答案表" sheetId="1" r:id="rId1"/>
    <sheet name="學生題目表" sheetId="2" r:id="rId2"/>
    <sheet name="生肖對照與規則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<sst xmlns="http://schemas.openxmlformats.org/spreadsheetml/2006/main" count="219" uniqueCount="138">
  <si>
    <t>言辵米・角刀牛｜13組生肖算式</t>
  </si>
  <si>
    <t>五道線索答案相加，即為各組三位數開箱密碼</t>
  </si>
  <si>
    <t>組別</t>
  </si>
  <si>
    <t>關卡1算式</t>
  </si>
  <si>
    <t>答案1</t>
  </si>
  <si>
    <t>關卡2算式</t>
  </si>
  <si>
    <t>答案2</t>
  </si>
  <si>
    <t>關卡3算式</t>
  </si>
  <si>
    <t>答案3</t>
  </si>
  <si>
    <t>關卡4算式</t>
  </si>
  <si>
    <t>答案4</t>
  </si>
  <si>
    <t>關卡5算式</t>
  </si>
  <si>
    <t>答案5</t>
  </si>
  <si>
    <t>開箱密碼</t>
  </si>
  <si>
    <t>第1組</t>
  </si>
  <si>
    <t>馬²－牛÷鼠＋狗×豬</t>
  </si>
  <si>
    <t>猴²＋鼠×鼠－蛇÷鼠</t>
  </si>
  <si>
    <t>兔²－蛇÷鼠＋雞×蛇</t>
  </si>
  <si>
    <t>兔³÷鼠＋虎×兔－蛇</t>
  </si>
  <si>
    <t>（虎＋虎）²÷牛＋虎×猴</t>
  </si>
  <si>
    <t>第2組</t>
  </si>
  <si>
    <t>（猴＋龍）²÷馬＋豬×兔</t>
  </si>
  <si>
    <t>羊²＋虎×牛－蛇÷蛇</t>
  </si>
  <si>
    <t>馬²－牛÷牛＋雞×虎</t>
  </si>
  <si>
    <t>龍²－兔÷牛＋兔×鼠</t>
  </si>
  <si>
    <t>馬²＋狗×兔－虎÷虎</t>
  </si>
  <si>
    <t>第3組</t>
  </si>
  <si>
    <t>馬²＋馬×牛－豬÷虎</t>
  </si>
  <si>
    <t>狗²－蛇÷蛇＋龍×猴</t>
  </si>
  <si>
    <t>馬²－猴÷猴＋蛇×兔</t>
  </si>
  <si>
    <t>（羊＋羊）²÷牛＋馬×龍</t>
  </si>
  <si>
    <t>兔²－豬÷鼠＋豬×龍</t>
  </si>
  <si>
    <t>第4組</t>
  </si>
  <si>
    <t>蛇²＋猴×虎－雞÷雞</t>
  </si>
  <si>
    <t>蛇³÷羊＋兔×龍－馬</t>
  </si>
  <si>
    <t>（兔＋虎）²÷馬＋牛×牛</t>
  </si>
  <si>
    <t>牛²－龍÷鼠＋猴×牛</t>
  </si>
  <si>
    <t>雞²＋蛇×虎－馬÷馬</t>
  </si>
  <si>
    <t>第5組</t>
  </si>
  <si>
    <t>牛²＋兔×雞－龍÷鼠</t>
  </si>
  <si>
    <t>馬²－馬÷鼠＋雞×牛</t>
  </si>
  <si>
    <t>龍²＋兔×虎－牛÷牛</t>
  </si>
  <si>
    <t>豬²－兔÷兔＋龍×馬</t>
  </si>
  <si>
    <t>雞²－兔÷牛＋猴×兔</t>
  </si>
  <si>
    <t>第6組</t>
  </si>
  <si>
    <t>牛²－狗÷鼠＋蛇×龍</t>
  </si>
  <si>
    <t>虎³÷虎＋馬×鼠－牛</t>
  </si>
  <si>
    <t>（兔＋牛）²÷牛＋猴×猴</t>
  </si>
  <si>
    <t>（龍＋狗）²÷兔＋雞×雞</t>
  </si>
  <si>
    <t>猴²－羊÷羊＋蛇×狗</t>
  </si>
  <si>
    <t>第7組</t>
  </si>
  <si>
    <t>蛇²－羊÷兔＋兔×狗</t>
  </si>
  <si>
    <t>馬³÷馬＋鼠×豬－虎</t>
  </si>
  <si>
    <t>龍²＋兔×蛇－牛÷鼠</t>
  </si>
  <si>
    <t>（虎＋牛）²÷龍＋鼠×狗</t>
  </si>
  <si>
    <t>兔²－龍÷龍＋牛×羊</t>
  </si>
  <si>
    <t>第8組</t>
  </si>
  <si>
    <t>蛇²－羊÷牛＋龍×蛇</t>
  </si>
  <si>
    <t>龍³－猴×龍＋雞÷龍</t>
  </si>
  <si>
    <t>牛³÷羊＋狗×狗－牛</t>
  </si>
  <si>
    <t>蛇³÷豬＋雞×龍－馬</t>
  </si>
  <si>
    <t>猴²＋馬×雞－兔÷牛</t>
  </si>
  <si>
    <t>第9組</t>
  </si>
  <si>
    <t>（牛＋羊）²÷兔＋鼠×豬</t>
  </si>
  <si>
    <t>羊²－雞÷牛＋牛×馬</t>
  </si>
  <si>
    <t>牛²－猴÷鼠＋雞×兔</t>
  </si>
  <si>
    <t>（虎＋蛇）²÷猴＋蛇×兔</t>
  </si>
  <si>
    <t>虎²－馬÷馬＋羊×雞</t>
  </si>
  <si>
    <t>第10組</t>
  </si>
  <si>
    <t>（龍＋兔）²÷虎＋雞×狗</t>
  </si>
  <si>
    <t>牛²＋龍×牛－羊÷牛</t>
  </si>
  <si>
    <t>（猴＋虎）²÷鼠＋馬×虎</t>
  </si>
  <si>
    <t>羊²＋狗×龍－猴÷虎</t>
  </si>
  <si>
    <t>虎²＋狗×馬－狗÷鼠</t>
  </si>
  <si>
    <t>第11組</t>
  </si>
  <si>
    <t>牛³÷羊＋狗×狗－雞</t>
  </si>
  <si>
    <t>（虎＋虎）²÷蛇＋馬×牛</t>
  </si>
  <si>
    <t>虎³÷猴＋兔×豬－蛇</t>
  </si>
  <si>
    <t>龍²＋兔×龍－豬÷蛇</t>
  </si>
  <si>
    <t>（猴＋鼠）²÷龍＋牛×羊</t>
  </si>
  <si>
    <t>第12組</t>
  </si>
  <si>
    <t>馬²－馬÷鼠＋牛×牛</t>
  </si>
  <si>
    <t>（虎＋豬）²÷虎＋蛇×鼠</t>
  </si>
  <si>
    <t>蛇²＋猴×鼠－豬÷虎</t>
  </si>
  <si>
    <t>羊²－羊÷鼠＋雞×羊</t>
  </si>
  <si>
    <t>雞²＋蛇×馬－猴÷鼠</t>
  </si>
  <si>
    <t>第13組</t>
  </si>
  <si>
    <t>（牛＋羊）²÷雞＋牛×蛇</t>
  </si>
  <si>
    <t>兔³－馬×兔＋兔÷牛</t>
  </si>
  <si>
    <t>豬²＋豬×牛－羊÷兔</t>
  </si>
  <si>
    <t>猴²＋牛×鼠－馬÷馬</t>
  </si>
  <si>
    <t>兔³－鼠×兔＋虎÷虎</t>
  </si>
  <si>
    <t>學生作答版：依運算順序算出五題答案，最後全部加總</t>
  </si>
  <si>
    <t>關卡1</t>
  </si>
  <si>
    <t>關卡2</t>
  </si>
  <si>
    <t>關卡3</t>
  </si>
  <si>
    <t>關卡4</t>
  </si>
  <si>
    <t>關卡5</t>
  </si>
  <si>
    <t>生肖數值與解題規則</t>
  </si>
  <si>
    <t>生肖</t>
  </si>
  <si>
    <t>數值</t>
  </si>
  <si>
    <t>運算與使用說明</t>
  </si>
  <si>
    <t>鼠</t>
  </si>
  <si>
    <t>1. 先將生肖換成對應數值。</t>
  </si>
  <si>
    <t>牛</t>
  </si>
  <si>
    <t>2. 運算順序：括號 → 平方／立方 → 乘除 → 加減。</t>
  </si>
  <si>
    <t>虎</t>
  </si>
  <si>
    <t>3. 每一道除法都能整除，不會出現小數。</t>
  </si>
  <si>
    <t>兔</t>
  </si>
  <si>
    <t>4. 每組完成五道關卡後，將五個答案全部加總。</t>
  </si>
  <si>
    <t>龍</t>
  </si>
  <si>
    <t>5. 加總結果就是該組的三位數開箱密碼。</t>
  </si>
  <si>
    <t>蛇</t>
  </si>
  <si>
    <t>6. 教師答案表的密碼欄為自動加總公式。</t>
  </si>
  <si>
    <t>馬</t>
  </si>
  <si>
    <t>羊</t>
  </si>
  <si>
    <t>算式示例</t>
  </si>
  <si>
    <t>猴</t>
  </si>
  <si>
    <t>兔 × 蛇 − 豬 ÷ 虎</t>
  </si>
  <si>
    <t>雞</t>
  </si>
  <si>
    <t>＝4 × 6 − 12 ÷ 3</t>
  </si>
  <si>
    <t>狗</t>
  </si>
  <si>
    <t>＝24 − 4＝20</t>
  </si>
  <si>
    <t>豬</t>
  </si>
  <si>
    <t>https://view.genially.com/6a3688b9c86751150be0d0bc</t>
  </si>
  <si>
    <t>https://view.genially.com/6a3687af6b9e1f29aa0c8b34</t>
  </si>
  <si>
    <t>https://view.genially.com/6a3686f1ec9bb427c0ddfac1</t>
  </si>
  <si>
    <t>https://view.genially.com/6a3685a5f53b3e0bdc9a97ed</t>
  </si>
  <si>
    <t>https://view.genially.com/6a368444d13221394f150419</t>
  </si>
  <si>
    <t>https://view.genially.com/6a36830137c723880d30eb3c</t>
  </si>
  <si>
    <t>https://view.genially.com/6a36816e44dcf0e31d018601</t>
  </si>
  <si>
    <t>https://view.genially.com/6a36807b37c723880d30ca04</t>
  </si>
  <si>
    <t>https://view.genially.com/6a367f785621fd6dcf038548</t>
  </si>
  <si>
    <t>https://view.genially.com/6a367e5ef1d5607523481e48</t>
  </si>
  <si>
    <t>https://view.genially.com/6a367d56f1d5607523480f8e</t>
  </si>
  <si>
    <t>https://view.genially.com/6a367a9c44dcf0e31d010d01</t>
  </si>
  <si>
    <t>網址</t>
    <phoneticPr fontId="13" type="noConversion"/>
  </si>
  <si>
    <t>https://view.genially.com/68763e42ab77cefe054c0070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</si>
</sst>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5">
    <font>
      <sz val="11"/>
      <name val="Carlito"/>
    </font>
    <font>
      <b/>
      <sz val="20"/>
      <color rgb="FFFFFFFF"/>
      <name val="Microsoft JhengHei"/>
      <family val="2"/>
      <charset val="136"/>
    </font>
    <font>
      <i/>
      <sz val="11"/>
      <color rgb="FFA34438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sz val="11"/>
      <color rgb="FF102B33"/>
      <name val="Microsoft JhengHei"/>
      <family val="2"/>
      <charset val="136"/>
    </font>
    <font>
      <b/>
      <sz val="11"/>
      <color rgb="FF102B33"/>
      <name val="Microsoft JhengHei"/>
      <family val="2"/>
      <charset val="136"/>
    </font>
    <font>
      <b/>
      <sz val="13"/>
      <color rgb="FF173B45"/>
      <name val="Microsoft JhengHei"/>
      <family val="2"/>
      <charset val="136"/>
    </font>
    <font>
      <sz val="12"/>
      <color rgb="FF102B33"/>
      <name val="Microsoft JhengHei"/>
      <family val="2"/>
      <charset val="136"/>
    </font>
    <font>
      <b/>
      <sz val="12"/>
      <color rgb="FF173B45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color rgb="FF173B45"/>
      <name val="Microsoft JhengHei"/>
      <family val="2"/>
      <charset val="136"/>
    </font>
    <font>
      <b/>
      <sz val="14"/>
      <color rgb="FF173B45"/>
      <name val="Microsoft JhengHei"/>
      <family val="2"/>
      <charset val="136"/>
    </font>
    <font>
      <sz val="11"/>
      <name val="Carlito"/>
    </font>
    <font>
      <sz val="9"/>
      <name val="細明體"/>
      <family val="3"/>
      <charset val="136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B45"/>
      </patternFill>
    </fill>
    <fill>
      <patternFill patternType="solid">
        <fgColor rgb="FFFFF9E9"/>
      </patternFill>
    </fill>
    <fill>
      <patternFill patternType="solid">
        <fgColor rgb="FFC6933E"/>
      </patternFill>
    </fill>
    <fill>
      <patternFill patternType="solid">
        <fgColor rgb="FFF3EEDF"/>
      </patternFill>
    </fill>
    <fill>
      <patternFill patternType="solid">
        <fgColor rgb="FFFAF7EF"/>
      </patternFill>
    </fill>
    <fill>
      <patternFill patternType="solid">
        <fgColor rgb="FFDDEFE4"/>
      </patternFill>
    </fill>
    <fill>
      <patternFill patternType="solid">
        <fgColor rgb="FFF7FBF8"/>
      </patternFill>
    </fill>
  </fills>
  <borders count="3">
    <border>
      <left/>
      <right/>
      <top/>
      <bottom/>
      <diagonal/>
    </border>
    <border>
      <left style="thin">
        <color rgb="FFD7CFB8"/>
      </left>
      <right style="thin">
        <color rgb="FFD7CFB8"/>
      </right>
      <top style="thin">
        <color rgb="FFD7CFB8"/>
      </top>
      <bottom style="thin">
        <color rgb="FFD7CFB8"/>
      </bottom>
      <diagonal/>
    </border>
    <border>
      <left style="medium">
        <color rgb="FFC6933E"/>
      </left>
      <right style="medium">
        <color rgb="FFC6933E"/>
      </right>
      <top style="medium">
        <color rgb="FFC6933E"/>
      </top>
      <bottom style="medium">
        <color rgb="FFC6933E"/>
      </bottom>
      <diagonal/>
    </border>
  </borders>
  <cellStyleXfs count="3">
    <xf numFmtId="0" fontId="0" fillId="0" borderId="0"/>
    <xf numFmtId="0" fontId="12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5" fillId="5" borderId="1" xfId="1" applyFont="1" applyFill="1" applyBorder="1" applyAlignment="1">
      <alignment horizontal="center" vertical="center" wrapText="1"/>
    </xf>
    <xf numFmtId="1" fontId="4" fillId="6" borderId="1" xfId="1" applyNumberFormat="1" applyFont="1" applyFill="1" applyBorder="1" applyAlignment="1">
      <alignment horizontal="center" vertical="center" wrapText="1"/>
    </xf>
    <xf numFmtId="176" fontId="6" fillId="7" borderId="2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11" fillId="8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 wrapText="1"/>
    </xf>
    <xf numFmtId="0" fontId="9" fillId="2" borderId="0" xfId="1" applyFont="1" applyFill="1" applyAlignment="1">
      <alignment horizontal="center"/>
    </xf>
    <xf numFmtId="0" fontId="9" fillId="4" borderId="0" xfId="1" applyFont="1" applyFill="1" applyAlignment="1">
      <alignment horizontal="center"/>
    </xf>
    <xf numFmtId="0" fontId="14" fillId="0" borderId="0" xfId="2" applyAlignment="1">
      <alignment vertical="center"/>
    </xf>
  </cellXfs>
  <cellStyles count="3">
    <cellStyle name="Normal" xfId="1" xr:uid="{00000000-0005-0000-0000-000000000000}"/>
    <cellStyle name="一般" xfId="0" builtinId="0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iew.genially.com/68763e42ab77cefe054c00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showGridLines="0" tabSelected="1" topLeftCell="E3" workbookViewId="0">
      <selection activeCell="M5" sqref="M5"/>
    </sheetView>
  </sheetViews>
  <sheetFormatPr defaultRowHeight="13.5"/>
  <cols>
    <col min="1" max="1" width="9" customWidth="1"/>
    <col min="2" max="2" width="25" customWidth="1"/>
    <col min="3" max="3" width="9" customWidth="1"/>
    <col min="4" max="4" width="25" customWidth="1"/>
    <col min="5" max="5" width="9" customWidth="1"/>
    <col min="6" max="6" width="25" customWidth="1"/>
    <col min="7" max="7" width="9" customWidth="1"/>
    <col min="8" max="8" width="25" customWidth="1"/>
    <col min="9" max="9" width="9" customWidth="1"/>
    <col min="10" max="10" width="25" customWidth="1"/>
    <col min="11" max="11" width="9" customWidth="1"/>
    <col min="12" max="12" width="13" customWidth="1"/>
    <col min="13" max="13" width="46.25" style="12" customWidth="1"/>
  </cols>
  <sheetData>
    <row r="1" spans="1:13" ht="38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26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3" ht="38" customHeight="1" thickBo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3" t="s">
        <v>136</v>
      </c>
    </row>
    <row r="5" spans="1:13" ht="38" customHeight="1" thickBot="1">
      <c r="A5" s="3" t="s">
        <v>14</v>
      </c>
      <c r="B5" s="2" t="s">
        <v>15</v>
      </c>
      <c r="C5" s="4">
        <v>179</v>
      </c>
      <c r="D5" s="2" t="s">
        <v>16</v>
      </c>
      <c r="E5" s="4">
        <v>76</v>
      </c>
      <c r="F5" s="2" t="s">
        <v>17</v>
      </c>
      <c r="G5" s="4">
        <v>70</v>
      </c>
      <c r="H5" s="2" t="s">
        <v>18</v>
      </c>
      <c r="I5" s="4">
        <v>70</v>
      </c>
      <c r="J5" s="2" t="s">
        <v>19</v>
      </c>
      <c r="K5" s="4">
        <v>45</v>
      </c>
      <c r="L5" s="5">
        <f t="shared" ref="L5:L17" si="0">C5+E5+G5+I5+K5</f>
        <v>440</v>
      </c>
      <c r="M5" s="20" t="s">
        <v>137</v>
      </c>
    </row>
    <row r="6" spans="1:13" ht="38" customHeight="1" thickBot="1">
      <c r="A6" s="3" t="s">
        <v>20</v>
      </c>
      <c r="B6" s="2" t="s">
        <v>21</v>
      </c>
      <c r="C6" s="4">
        <v>76</v>
      </c>
      <c r="D6" s="2" t="s">
        <v>22</v>
      </c>
      <c r="E6" s="4">
        <v>69</v>
      </c>
      <c r="F6" s="2" t="s">
        <v>23</v>
      </c>
      <c r="G6" s="4">
        <v>78</v>
      </c>
      <c r="H6" s="2" t="s">
        <v>24</v>
      </c>
      <c r="I6" s="4">
        <v>27</v>
      </c>
      <c r="J6" s="2" t="s">
        <v>25</v>
      </c>
      <c r="K6" s="4">
        <v>92</v>
      </c>
      <c r="L6" s="5">
        <f t="shared" si="0"/>
        <v>342</v>
      </c>
      <c r="M6" s="12" t="s">
        <v>135</v>
      </c>
    </row>
    <row r="7" spans="1:13" ht="38" customHeight="1" thickBot="1">
      <c r="A7" s="3" t="s">
        <v>26</v>
      </c>
      <c r="B7" s="2" t="s">
        <v>27</v>
      </c>
      <c r="C7" s="4">
        <v>59</v>
      </c>
      <c r="D7" s="2" t="s">
        <v>28</v>
      </c>
      <c r="E7" s="4">
        <v>165</v>
      </c>
      <c r="F7" s="2" t="s">
        <v>29</v>
      </c>
      <c r="G7" s="4">
        <v>72</v>
      </c>
      <c r="H7" s="2" t="s">
        <v>30</v>
      </c>
      <c r="I7" s="4">
        <v>163</v>
      </c>
      <c r="J7" s="2" t="s">
        <v>31</v>
      </c>
      <c r="K7" s="4">
        <v>64</v>
      </c>
      <c r="L7" s="5">
        <f t="shared" si="0"/>
        <v>523</v>
      </c>
      <c r="M7" s="12" t="s">
        <v>134</v>
      </c>
    </row>
    <row r="8" spans="1:13" ht="38" customHeight="1" thickBot="1">
      <c r="A8" s="3" t="s">
        <v>32</v>
      </c>
      <c r="B8" s="2" t="s">
        <v>33</v>
      </c>
      <c r="C8" s="4">
        <v>62</v>
      </c>
      <c r="D8" s="2" t="s">
        <v>34</v>
      </c>
      <c r="E8" s="4">
        <v>40</v>
      </c>
      <c r="F8" s="2" t="s">
        <v>35</v>
      </c>
      <c r="G8" s="4">
        <v>11</v>
      </c>
      <c r="H8" s="2" t="s">
        <v>36</v>
      </c>
      <c r="I8" s="4">
        <v>17</v>
      </c>
      <c r="J8" s="2" t="s">
        <v>37</v>
      </c>
      <c r="K8" s="4">
        <v>117</v>
      </c>
      <c r="L8" s="5">
        <f t="shared" si="0"/>
        <v>247</v>
      </c>
      <c r="M8" s="12" t="s">
        <v>133</v>
      </c>
    </row>
    <row r="9" spans="1:13" ht="38" customHeight="1" thickBot="1">
      <c r="A9" s="3" t="s">
        <v>38</v>
      </c>
      <c r="B9" s="2" t="s">
        <v>39</v>
      </c>
      <c r="C9" s="4">
        <v>39</v>
      </c>
      <c r="D9" s="2" t="s">
        <v>40</v>
      </c>
      <c r="E9" s="4">
        <v>62</v>
      </c>
      <c r="F9" s="2" t="s">
        <v>41</v>
      </c>
      <c r="G9" s="4">
        <v>36</v>
      </c>
      <c r="H9" s="2" t="s">
        <v>42</v>
      </c>
      <c r="I9" s="4">
        <v>178</v>
      </c>
      <c r="J9" s="2" t="s">
        <v>43</v>
      </c>
      <c r="K9" s="4">
        <v>134</v>
      </c>
      <c r="L9" s="5">
        <f t="shared" si="0"/>
        <v>449</v>
      </c>
      <c r="M9" s="12" t="s">
        <v>132</v>
      </c>
    </row>
    <row r="10" spans="1:13" ht="38" customHeight="1" thickBot="1">
      <c r="A10" s="3" t="s">
        <v>44</v>
      </c>
      <c r="B10" s="2" t="s">
        <v>45</v>
      </c>
      <c r="C10" s="4">
        <v>23</v>
      </c>
      <c r="D10" s="2" t="s">
        <v>46</v>
      </c>
      <c r="E10" s="4">
        <v>14</v>
      </c>
      <c r="F10" s="2" t="s">
        <v>47</v>
      </c>
      <c r="G10" s="4">
        <v>99</v>
      </c>
      <c r="H10" s="2" t="s">
        <v>48</v>
      </c>
      <c r="I10" s="4">
        <v>164</v>
      </c>
      <c r="J10" s="2" t="s">
        <v>49</v>
      </c>
      <c r="K10" s="4">
        <v>146</v>
      </c>
      <c r="L10" s="5">
        <f t="shared" si="0"/>
        <v>446</v>
      </c>
      <c r="M10" s="12" t="s">
        <v>131</v>
      </c>
    </row>
    <row r="11" spans="1:13" ht="38" customHeight="1" thickBot="1">
      <c r="A11" s="3" t="s">
        <v>50</v>
      </c>
      <c r="B11" s="2" t="s">
        <v>51</v>
      </c>
      <c r="C11" s="4">
        <v>78</v>
      </c>
      <c r="D11" s="2" t="s">
        <v>52</v>
      </c>
      <c r="E11" s="4">
        <v>58</v>
      </c>
      <c r="F11" s="2" t="s">
        <v>53</v>
      </c>
      <c r="G11" s="4">
        <v>47</v>
      </c>
      <c r="H11" s="2" t="s">
        <v>54</v>
      </c>
      <c r="I11" s="4">
        <v>16</v>
      </c>
      <c r="J11" s="2" t="s">
        <v>55</v>
      </c>
      <c r="K11" s="4">
        <v>31</v>
      </c>
      <c r="L11" s="5">
        <f t="shared" si="0"/>
        <v>230</v>
      </c>
      <c r="M11" s="12" t="s">
        <v>130</v>
      </c>
    </row>
    <row r="12" spans="1:13" ht="38" customHeight="1" thickBot="1">
      <c r="A12" s="3" t="s">
        <v>56</v>
      </c>
      <c r="B12" s="2" t="s">
        <v>57</v>
      </c>
      <c r="C12" s="4">
        <v>62</v>
      </c>
      <c r="D12" s="2" t="s">
        <v>58</v>
      </c>
      <c r="E12" s="4">
        <v>82</v>
      </c>
      <c r="F12" s="2" t="s">
        <v>59</v>
      </c>
      <c r="G12" s="4">
        <v>120</v>
      </c>
      <c r="H12" s="2" t="s">
        <v>60</v>
      </c>
      <c r="I12" s="4">
        <v>61</v>
      </c>
      <c r="J12" s="2" t="s">
        <v>61</v>
      </c>
      <c r="K12" s="4">
        <v>149</v>
      </c>
      <c r="L12" s="5">
        <f t="shared" si="0"/>
        <v>474</v>
      </c>
      <c r="M12" s="12" t="s">
        <v>129</v>
      </c>
    </row>
    <row r="13" spans="1:13" ht="38" customHeight="1" thickBot="1">
      <c r="A13" s="3" t="s">
        <v>62</v>
      </c>
      <c r="B13" s="2" t="s">
        <v>63</v>
      </c>
      <c r="C13" s="4">
        <v>37</v>
      </c>
      <c r="D13" s="2" t="s">
        <v>64</v>
      </c>
      <c r="E13" s="4">
        <v>73</v>
      </c>
      <c r="F13" s="2" t="s">
        <v>65</v>
      </c>
      <c r="G13" s="4">
        <v>35</v>
      </c>
      <c r="H13" s="2" t="s">
        <v>66</v>
      </c>
      <c r="I13" s="4">
        <v>33</v>
      </c>
      <c r="J13" s="2" t="s">
        <v>67</v>
      </c>
      <c r="K13" s="4">
        <v>88</v>
      </c>
      <c r="L13" s="5">
        <f t="shared" si="0"/>
        <v>266</v>
      </c>
      <c r="M13" s="12" t="s">
        <v>128</v>
      </c>
    </row>
    <row r="14" spans="1:13" ht="38" customHeight="1" thickBot="1">
      <c r="A14" s="3" t="s">
        <v>68</v>
      </c>
      <c r="B14" s="2" t="s">
        <v>69</v>
      </c>
      <c r="C14" s="4">
        <v>137</v>
      </c>
      <c r="D14" s="2" t="s">
        <v>70</v>
      </c>
      <c r="E14" s="4">
        <v>10</v>
      </c>
      <c r="F14" s="2" t="s">
        <v>71</v>
      </c>
      <c r="G14" s="4">
        <v>165</v>
      </c>
      <c r="H14" s="2" t="s">
        <v>72</v>
      </c>
      <c r="I14" s="4">
        <v>116</v>
      </c>
      <c r="J14" s="2" t="s">
        <v>73</v>
      </c>
      <c r="K14" s="4">
        <v>75</v>
      </c>
      <c r="L14" s="5">
        <f t="shared" si="0"/>
        <v>503</v>
      </c>
      <c r="M14" s="12" t="s">
        <v>127</v>
      </c>
    </row>
    <row r="15" spans="1:13" ht="38" customHeight="1" thickBot="1">
      <c r="A15" s="3" t="s">
        <v>74</v>
      </c>
      <c r="B15" s="2" t="s">
        <v>75</v>
      </c>
      <c r="C15" s="4">
        <v>112</v>
      </c>
      <c r="D15" s="2" t="s">
        <v>76</v>
      </c>
      <c r="E15" s="4">
        <v>20</v>
      </c>
      <c r="F15" s="2" t="s">
        <v>77</v>
      </c>
      <c r="G15" s="4">
        <v>45</v>
      </c>
      <c r="H15" s="2" t="s">
        <v>78</v>
      </c>
      <c r="I15" s="4">
        <v>43</v>
      </c>
      <c r="J15" s="2" t="s">
        <v>79</v>
      </c>
      <c r="K15" s="4">
        <v>36</v>
      </c>
      <c r="L15" s="5">
        <f t="shared" si="0"/>
        <v>256</v>
      </c>
      <c r="M15" s="12" t="s">
        <v>126</v>
      </c>
    </row>
    <row r="16" spans="1:13" ht="38" customHeight="1" thickBot="1">
      <c r="A16" s="3" t="s">
        <v>80</v>
      </c>
      <c r="B16" s="2" t="s">
        <v>81</v>
      </c>
      <c r="C16" s="4">
        <v>46</v>
      </c>
      <c r="D16" s="2" t="s">
        <v>82</v>
      </c>
      <c r="E16" s="4">
        <v>81</v>
      </c>
      <c r="F16" s="2" t="s">
        <v>83</v>
      </c>
      <c r="G16" s="4">
        <v>41</v>
      </c>
      <c r="H16" s="2" t="s">
        <v>84</v>
      </c>
      <c r="I16" s="4">
        <v>136</v>
      </c>
      <c r="J16" s="2" t="s">
        <v>85</v>
      </c>
      <c r="K16" s="4">
        <v>133</v>
      </c>
      <c r="L16" s="5">
        <f t="shared" si="0"/>
        <v>437</v>
      </c>
      <c r="M16" s="12" t="s">
        <v>125</v>
      </c>
    </row>
    <row r="17" spans="1:13" ht="38" customHeight="1" thickBot="1">
      <c r="A17" s="3" t="s">
        <v>86</v>
      </c>
      <c r="B17" s="2" t="s">
        <v>87</v>
      </c>
      <c r="C17" s="4">
        <v>22</v>
      </c>
      <c r="D17" s="2" t="s">
        <v>88</v>
      </c>
      <c r="E17" s="4">
        <v>38</v>
      </c>
      <c r="F17" s="2" t="s">
        <v>89</v>
      </c>
      <c r="G17" s="4">
        <v>166</v>
      </c>
      <c r="H17" s="2" t="s">
        <v>90</v>
      </c>
      <c r="I17" s="4">
        <v>82</v>
      </c>
      <c r="J17" s="2" t="s">
        <v>91</v>
      </c>
      <c r="K17" s="4">
        <v>61</v>
      </c>
      <c r="L17" s="5">
        <f t="shared" si="0"/>
        <v>369</v>
      </c>
      <c r="M17" s="12" t="s">
        <v>124</v>
      </c>
    </row>
  </sheetData>
  <mergeCells count="2">
    <mergeCell ref="A1:L1"/>
    <mergeCell ref="A2:L2"/>
  </mergeCells>
  <phoneticPr fontId="13" type="noConversion"/>
  <hyperlinks>
    <hyperlink ref="M5" r:id="rId1" xr:uid="{43114F2B-C777-4FD4-A39F-3627B094D4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/>
  </sheetViews>
  <sheetFormatPr defaultRowHeight="13.5"/>
  <cols>
    <col min="1" max="1" width="10" customWidth="1"/>
    <col min="2" max="6" width="27" customWidth="1"/>
  </cols>
  <sheetData>
    <row r="1" spans="1:6" ht="38" customHeight="1">
      <c r="A1" s="14" t="s">
        <v>0</v>
      </c>
      <c r="B1" s="14"/>
      <c r="C1" s="14"/>
      <c r="D1" s="14"/>
      <c r="E1" s="14"/>
      <c r="F1" s="14"/>
    </row>
    <row r="2" spans="1:6" ht="26" customHeight="1">
      <c r="A2" s="15" t="s">
        <v>92</v>
      </c>
      <c r="B2" s="15"/>
      <c r="C2" s="15"/>
      <c r="D2" s="15"/>
      <c r="E2" s="15"/>
      <c r="F2" s="15"/>
    </row>
    <row r="4" spans="1:6" ht="48" customHeight="1">
      <c r="A4" s="6" t="s">
        <v>2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</row>
    <row r="5" spans="1:6" ht="48" customHeight="1">
      <c r="A5" s="8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</row>
    <row r="6" spans="1:6" ht="48" customHeight="1">
      <c r="A6" s="8" t="s">
        <v>20</v>
      </c>
      <c r="B6" s="7" t="s">
        <v>21</v>
      </c>
      <c r="C6" s="7" t="s">
        <v>22</v>
      </c>
      <c r="D6" s="7" t="s">
        <v>23</v>
      </c>
      <c r="E6" s="7" t="s">
        <v>24</v>
      </c>
      <c r="F6" s="7" t="s">
        <v>25</v>
      </c>
    </row>
    <row r="7" spans="1:6" ht="48" customHeight="1">
      <c r="A7" s="8" t="s">
        <v>26</v>
      </c>
      <c r="B7" s="7" t="s">
        <v>27</v>
      </c>
      <c r="C7" s="7" t="s">
        <v>28</v>
      </c>
      <c r="D7" s="7" t="s">
        <v>29</v>
      </c>
      <c r="E7" s="7" t="s">
        <v>30</v>
      </c>
      <c r="F7" s="7" t="s">
        <v>31</v>
      </c>
    </row>
    <row r="8" spans="1:6" ht="48" customHeight="1">
      <c r="A8" s="8" t="s">
        <v>32</v>
      </c>
      <c r="B8" s="7" t="s">
        <v>33</v>
      </c>
      <c r="C8" s="7" t="s">
        <v>34</v>
      </c>
      <c r="D8" s="7" t="s">
        <v>35</v>
      </c>
      <c r="E8" s="7" t="s">
        <v>36</v>
      </c>
      <c r="F8" s="7" t="s">
        <v>37</v>
      </c>
    </row>
    <row r="9" spans="1:6" ht="48" customHeight="1">
      <c r="A9" s="8" t="s">
        <v>38</v>
      </c>
      <c r="B9" s="7" t="s">
        <v>39</v>
      </c>
      <c r="C9" s="7" t="s">
        <v>40</v>
      </c>
      <c r="D9" s="7" t="s">
        <v>41</v>
      </c>
      <c r="E9" s="7" t="s">
        <v>42</v>
      </c>
      <c r="F9" s="7" t="s">
        <v>43</v>
      </c>
    </row>
    <row r="10" spans="1:6" ht="48" customHeight="1">
      <c r="A10" s="8" t="s">
        <v>44</v>
      </c>
      <c r="B10" s="7" t="s">
        <v>45</v>
      </c>
      <c r="C10" s="7" t="s">
        <v>46</v>
      </c>
      <c r="D10" s="7" t="s">
        <v>47</v>
      </c>
      <c r="E10" s="7" t="s">
        <v>48</v>
      </c>
      <c r="F10" s="7" t="s">
        <v>49</v>
      </c>
    </row>
    <row r="11" spans="1:6" ht="48" customHeight="1">
      <c r="A11" s="8" t="s">
        <v>50</v>
      </c>
      <c r="B11" s="7" t="s">
        <v>51</v>
      </c>
      <c r="C11" s="7" t="s">
        <v>52</v>
      </c>
      <c r="D11" s="7" t="s">
        <v>53</v>
      </c>
      <c r="E11" s="7" t="s">
        <v>54</v>
      </c>
      <c r="F11" s="7" t="s">
        <v>55</v>
      </c>
    </row>
    <row r="12" spans="1:6" ht="48" customHeight="1">
      <c r="A12" s="8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7" t="s">
        <v>61</v>
      </c>
    </row>
    <row r="13" spans="1:6" ht="48" customHeight="1">
      <c r="A13" s="8" t="s">
        <v>62</v>
      </c>
      <c r="B13" s="7" t="s">
        <v>63</v>
      </c>
      <c r="C13" s="7" t="s">
        <v>64</v>
      </c>
      <c r="D13" s="7" t="s">
        <v>65</v>
      </c>
      <c r="E13" s="7" t="s">
        <v>66</v>
      </c>
      <c r="F13" s="7" t="s">
        <v>67</v>
      </c>
    </row>
    <row r="14" spans="1:6" ht="48" customHeight="1">
      <c r="A14" s="8" t="s">
        <v>68</v>
      </c>
      <c r="B14" s="7" t="s">
        <v>69</v>
      </c>
      <c r="C14" s="7" t="s">
        <v>70</v>
      </c>
      <c r="D14" s="7" t="s">
        <v>71</v>
      </c>
      <c r="E14" s="7" t="s">
        <v>72</v>
      </c>
      <c r="F14" s="7" t="s">
        <v>73</v>
      </c>
    </row>
    <row r="15" spans="1:6" ht="48" customHeight="1">
      <c r="A15" s="8" t="s">
        <v>74</v>
      </c>
      <c r="B15" s="7" t="s">
        <v>75</v>
      </c>
      <c r="C15" s="7" t="s">
        <v>76</v>
      </c>
      <c r="D15" s="7" t="s">
        <v>77</v>
      </c>
      <c r="E15" s="7" t="s">
        <v>78</v>
      </c>
      <c r="F15" s="7" t="s">
        <v>79</v>
      </c>
    </row>
    <row r="16" spans="1:6" ht="48" customHeight="1">
      <c r="A16" s="8" t="s">
        <v>80</v>
      </c>
      <c r="B16" s="7" t="s">
        <v>81</v>
      </c>
      <c r="C16" s="7" t="s">
        <v>82</v>
      </c>
      <c r="D16" s="7" t="s">
        <v>83</v>
      </c>
      <c r="E16" s="7" t="s">
        <v>84</v>
      </c>
      <c r="F16" s="7" t="s">
        <v>85</v>
      </c>
    </row>
    <row r="17" spans="1:6" ht="48" customHeight="1">
      <c r="A17" s="8" t="s">
        <v>86</v>
      </c>
      <c r="B17" s="7" t="s">
        <v>87</v>
      </c>
      <c r="C17" s="7" t="s">
        <v>88</v>
      </c>
      <c r="D17" s="7" t="s">
        <v>89</v>
      </c>
      <c r="E17" s="7" t="s">
        <v>90</v>
      </c>
      <c r="F17" s="7" t="s">
        <v>91</v>
      </c>
    </row>
  </sheetData>
  <mergeCells count="2">
    <mergeCell ref="A1:F1"/>
    <mergeCell ref="A2:F2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workbookViewId="0"/>
  </sheetViews>
  <sheetFormatPr defaultRowHeight="13.5"/>
  <cols>
    <col min="1" max="1" width="12" customWidth="1"/>
    <col min="2" max="2" width="10" customWidth="1"/>
    <col min="3" max="3" width="3" customWidth="1"/>
    <col min="4" max="8" width="15" customWidth="1"/>
  </cols>
  <sheetData>
    <row r="1" spans="1:8" ht="38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26" customHeight="1">
      <c r="A2" s="15" t="s">
        <v>98</v>
      </c>
      <c r="B2" s="15"/>
      <c r="C2" s="15"/>
      <c r="D2" s="15"/>
      <c r="E2" s="15"/>
      <c r="F2" s="15"/>
      <c r="G2" s="15"/>
      <c r="H2" s="15"/>
    </row>
    <row r="4" spans="1:8" ht="26" customHeight="1">
      <c r="A4" s="9" t="s">
        <v>99</v>
      </c>
      <c r="B4" s="9" t="s">
        <v>100</v>
      </c>
      <c r="D4" s="19" t="s">
        <v>101</v>
      </c>
      <c r="E4" s="19"/>
      <c r="F4" s="19"/>
      <c r="G4" s="19"/>
      <c r="H4" s="19"/>
    </row>
    <row r="5" spans="1:8" ht="28.05" customHeight="1">
      <c r="A5" s="11" t="s">
        <v>102</v>
      </c>
      <c r="B5" s="10">
        <v>1</v>
      </c>
      <c r="D5" s="17" t="s">
        <v>103</v>
      </c>
      <c r="E5" s="17"/>
      <c r="F5" s="17"/>
      <c r="G5" s="17"/>
      <c r="H5" s="17"/>
    </row>
    <row r="6" spans="1:8" ht="28.05" customHeight="1">
      <c r="A6" s="11" t="s">
        <v>104</v>
      </c>
      <c r="B6" s="10">
        <v>2</v>
      </c>
      <c r="D6" s="17" t="s">
        <v>105</v>
      </c>
      <c r="E6" s="17"/>
      <c r="F6" s="17"/>
      <c r="G6" s="17"/>
      <c r="H6" s="17"/>
    </row>
    <row r="7" spans="1:8" ht="28.05" customHeight="1">
      <c r="A7" s="11" t="s">
        <v>106</v>
      </c>
      <c r="B7" s="10">
        <v>3</v>
      </c>
      <c r="D7" s="17" t="s">
        <v>107</v>
      </c>
      <c r="E7" s="17"/>
      <c r="F7" s="17"/>
      <c r="G7" s="17"/>
      <c r="H7" s="17"/>
    </row>
    <row r="8" spans="1:8" ht="28.05" customHeight="1">
      <c r="A8" s="11" t="s">
        <v>108</v>
      </c>
      <c r="B8" s="10">
        <v>4</v>
      </c>
      <c r="D8" s="17" t="s">
        <v>109</v>
      </c>
      <c r="E8" s="17"/>
      <c r="F8" s="17"/>
      <c r="G8" s="17"/>
      <c r="H8" s="17"/>
    </row>
    <row r="9" spans="1:8" ht="28.05" customHeight="1">
      <c r="A9" s="11" t="s">
        <v>110</v>
      </c>
      <c r="B9" s="10">
        <v>5</v>
      </c>
      <c r="D9" s="17" t="s">
        <v>111</v>
      </c>
      <c r="E9" s="17"/>
      <c r="F9" s="17"/>
      <c r="G9" s="17"/>
      <c r="H9" s="17"/>
    </row>
    <row r="10" spans="1:8" ht="28.05" customHeight="1">
      <c r="A10" s="11" t="s">
        <v>112</v>
      </c>
      <c r="B10" s="10">
        <v>6</v>
      </c>
      <c r="D10" s="17" t="s">
        <v>113</v>
      </c>
      <c r="E10" s="17"/>
      <c r="F10" s="17"/>
      <c r="G10" s="17"/>
      <c r="H10" s="17"/>
    </row>
    <row r="11" spans="1:8" ht="26" customHeight="1">
      <c r="A11" s="11" t="s">
        <v>114</v>
      </c>
      <c r="B11" s="10">
        <v>7</v>
      </c>
    </row>
    <row r="12" spans="1:8" ht="26" customHeight="1">
      <c r="A12" s="11" t="s">
        <v>115</v>
      </c>
      <c r="B12" s="10">
        <v>8</v>
      </c>
      <c r="D12" s="18" t="s">
        <v>116</v>
      </c>
      <c r="E12" s="18"/>
      <c r="F12" s="18"/>
      <c r="G12" s="18"/>
      <c r="H12" s="18"/>
    </row>
    <row r="13" spans="1:8" ht="32" customHeight="1">
      <c r="A13" s="11" t="s">
        <v>117</v>
      </c>
      <c r="B13" s="10">
        <v>9</v>
      </c>
      <c r="D13" s="16" t="s">
        <v>118</v>
      </c>
      <c r="E13" s="16"/>
      <c r="F13" s="16"/>
      <c r="G13" s="16"/>
      <c r="H13" s="16"/>
    </row>
    <row r="14" spans="1:8" ht="32" customHeight="1">
      <c r="A14" s="11" t="s">
        <v>119</v>
      </c>
      <c r="B14" s="10">
        <v>10</v>
      </c>
      <c r="D14" s="16" t="s">
        <v>120</v>
      </c>
      <c r="E14" s="16"/>
      <c r="F14" s="16"/>
      <c r="G14" s="16"/>
      <c r="H14" s="16"/>
    </row>
    <row r="15" spans="1:8" ht="32" customHeight="1">
      <c r="A15" s="11" t="s">
        <v>121</v>
      </c>
      <c r="B15" s="10">
        <v>11</v>
      </c>
      <c r="D15" s="16" t="s">
        <v>122</v>
      </c>
      <c r="E15" s="16"/>
      <c r="F15" s="16"/>
      <c r="G15" s="16"/>
      <c r="H15" s="16"/>
    </row>
    <row r="16" spans="1:8" ht="26" customHeight="1">
      <c r="A16" s="11" t="s">
        <v>123</v>
      </c>
      <c r="B16" s="10">
        <v>12</v>
      </c>
    </row>
  </sheetData>
  <mergeCells count="13">
    <mergeCell ref="A1:H1"/>
    <mergeCell ref="A2:H2"/>
    <mergeCell ref="D4:H4"/>
    <mergeCell ref="D5:H5"/>
    <mergeCell ref="D6:H6"/>
    <mergeCell ref="D13:H13"/>
    <mergeCell ref="D14:H14"/>
    <mergeCell ref="D15:H15"/>
    <mergeCell ref="D7:H7"/>
    <mergeCell ref="D8:H8"/>
    <mergeCell ref="D9:H9"/>
    <mergeCell ref="D10:H10"/>
    <mergeCell ref="D12:H1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教師答案表</vt:lpstr>
      <vt:lpstr>學生題目表</vt:lpstr>
      <vt:lpstr>生肖對照與規則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文怡 石</cp:lastModifiedBy>
  <dcterms:modified xsi:type="dcterms:W3CDTF">2026-06-20T13:28:29Z</dcterms:modified>
</cp:coreProperties>
</file>